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financieros" sheetId="1" state="visible" r:id="rId1"/>
    <sheet name="Inputs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A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165" fontId="0" fillId="3" borderId="0" pivotButton="0" quotePrefix="0" xfId="0"/>
    <xf numFmtId="4" fontId="0" fillId="0" borderId="0" pivotButton="0" quotePrefix="0" xfId="0"/>
    <xf numFmtId="164" fontId="0" fillId="3" borderId="0" pivotButton="0" quotePrefix="0" xfId="0"/>
    <xf numFmtId="0" fontId="4" fillId="0" borderId="0" pivotButton="0" quotePrefix="0" xfId="0"/>
    <xf numFmtId="4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INTUIT INC. (INTU) -- SEC EDGAR (10-K), en millones de USD</t>
        </is>
      </c>
    </row>
    <row r="2">
      <c r="A2" t="inlineStr">
        <is>
          <t>Las filas en celeste se calculan por formula a partir de las filas de arriba -- corregi un numero y el ratio se recalcula solo.</t>
        </is>
      </c>
    </row>
    <row r="4">
      <c r="B4" s="2" t="inlineStr">
        <is>
          <t>Anio fiscal (cierre)</t>
        </is>
      </c>
      <c r="C4" s="3" t="inlineStr">
        <is>
          <t>2016-07-31</t>
        </is>
      </c>
      <c r="D4" s="3" t="inlineStr">
        <is>
          <t>2017-07-31</t>
        </is>
      </c>
      <c r="E4" s="3" t="inlineStr">
        <is>
          <t>2018-07-31</t>
        </is>
      </c>
      <c r="F4" s="3" t="inlineStr">
        <is>
          <t>2019-07-31</t>
        </is>
      </c>
      <c r="G4" s="3" t="inlineStr">
        <is>
          <t>2020-07-31</t>
        </is>
      </c>
      <c r="H4" s="3" t="inlineStr">
        <is>
          <t>2021-07-31</t>
        </is>
      </c>
      <c r="I4" s="3" t="inlineStr">
        <is>
          <t>2022-07-31</t>
        </is>
      </c>
      <c r="J4" s="3" t="inlineStr">
        <is>
          <t>2023-07-31</t>
        </is>
      </c>
      <c r="K4" s="3" t="inlineStr">
        <is>
          <t>2024-07-31</t>
        </is>
      </c>
      <c r="L4" s="3" t="inlineStr">
        <is>
          <t>2025-07-31</t>
        </is>
      </c>
    </row>
    <row r="5">
      <c r="B5" t="inlineStr">
        <is>
          <t>Ingresos</t>
        </is>
      </c>
      <c r="C5" s="4" t="n">
        <v>4694</v>
      </c>
      <c r="D5" s="4" t="n">
        <v>5177</v>
      </c>
      <c r="E5" s="4" t="n">
        <v>5964</v>
      </c>
      <c r="F5" s="4" t="n">
        <v>6784</v>
      </c>
      <c r="G5" s="4" t="n">
        <v>7679</v>
      </c>
      <c r="H5" s="4" t="n">
        <v>9633</v>
      </c>
      <c r="I5" s="4" t="n">
        <v>12726</v>
      </c>
      <c r="J5" s="4" t="n">
        <v>14368</v>
      </c>
      <c r="K5" s="4" t="n">
        <v>16285</v>
      </c>
      <c r="L5" s="4" t="n">
        <v>18831</v>
      </c>
    </row>
    <row r="6">
      <c r="B6" t="inlineStr">
        <is>
          <t>EBIT</t>
        </is>
      </c>
      <c r="C6" s="4" t="n">
        <v>1242</v>
      </c>
      <c r="D6" s="4" t="n">
        <v>1395</v>
      </c>
      <c r="E6" s="4" t="n">
        <v>1497</v>
      </c>
      <c r="F6" s="4" t="n">
        <v>1854</v>
      </c>
      <c r="G6" s="4" t="n">
        <v>2176</v>
      </c>
      <c r="H6" s="4" t="n">
        <v>2500</v>
      </c>
      <c r="I6" s="4" t="n">
        <v>2571</v>
      </c>
      <c r="J6" s="4" t="n">
        <v>3141</v>
      </c>
      <c r="K6" s="4" t="n">
        <v>3630</v>
      </c>
      <c r="L6" s="4" t="n">
        <v>4923</v>
      </c>
    </row>
    <row r="7">
      <c r="B7" t="inlineStr">
        <is>
          <t>Margen EBIT</t>
        </is>
      </c>
      <c r="C7" s="5">
        <f>IF(C5="","",C6/C5)</f>
        <v/>
      </c>
      <c r="D7" s="5">
        <f>IF(D5="","",D6/D5)</f>
        <v/>
      </c>
      <c r="E7" s="5">
        <f>IF(E5="","",E6/E5)</f>
        <v/>
      </c>
      <c r="F7" s="5">
        <f>IF(F5="","",F6/F5)</f>
        <v/>
      </c>
      <c r="G7" s="5">
        <f>IF(G5="","",G6/G5)</f>
        <v/>
      </c>
      <c r="H7" s="5">
        <f>IF(H5="","",H6/H5)</f>
        <v/>
      </c>
      <c r="I7" s="5">
        <f>IF(I5="","",I6/I5)</f>
        <v/>
      </c>
      <c r="J7" s="5">
        <f>IF(J5="","",J6/J5)</f>
        <v/>
      </c>
      <c r="K7" s="5">
        <f>IF(K5="","",K6/K5)</f>
        <v/>
      </c>
      <c r="L7" s="5">
        <f>IF(L5="","",L6/L5)</f>
        <v/>
      </c>
    </row>
    <row r="8">
      <c r="B8" t="inlineStr">
        <is>
          <t>Crecimiento de ingresos (a/a)</t>
        </is>
      </c>
      <c r="D8" s="5">
        <f>IF(OR(D5="",C5=""),"",D5/C5-1)</f>
        <v/>
      </c>
      <c r="E8" s="5">
        <f>IF(OR(E5="",D5=""),"",E5/D5-1)</f>
        <v/>
      </c>
      <c r="F8" s="5">
        <f>IF(OR(F5="",E5=""),"",F5/E5-1)</f>
        <v/>
      </c>
      <c r="G8" s="5">
        <f>IF(OR(G5="",F5=""),"",G5/F5-1)</f>
        <v/>
      </c>
      <c r="H8" s="5">
        <f>IF(OR(H5="",G5=""),"",H5/G5-1)</f>
        <v/>
      </c>
      <c r="I8" s="5">
        <f>IF(OR(I5="",H5=""),"",I5/H5-1)</f>
        <v/>
      </c>
      <c r="J8" s="5">
        <f>IF(OR(J5="",I5=""),"",J5/I5-1)</f>
        <v/>
      </c>
      <c r="K8" s="5">
        <f>IF(OR(K5="",J5=""),"",K5/J5-1)</f>
        <v/>
      </c>
      <c r="L8" s="5">
        <f>IF(OR(L5="",K5=""),"",L5/K5-1)</f>
        <v/>
      </c>
    </row>
    <row r="11">
      <c r="B11" s="2" t="inlineStr">
        <is>
          <t>Anio fiscal (cierre)</t>
        </is>
      </c>
      <c r="C11" s="3" t="inlineStr">
        <is>
          <t>2021-07-31</t>
        </is>
      </c>
      <c r="D11" s="3" t="inlineStr">
        <is>
          <t>2022-07-31</t>
        </is>
      </c>
      <c r="E11" s="3" t="inlineStr">
        <is>
          <t>2023-07-31</t>
        </is>
      </c>
      <c r="F11" s="3" t="inlineStr">
        <is>
          <t>2024-07-31</t>
        </is>
      </c>
      <c r="G11" s="3" t="inlineStr">
        <is>
          <t>2025-07-31</t>
        </is>
      </c>
    </row>
    <row r="12">
      <c r="B12" t="inlineStr">
        <is>
          <t>Gasto en intereses</t>
        </is>
      </c>
      <c r="C12" s="4" t="n">
        <v>29</v>
      </c>
      <c r="D12" s="4" t="n">
        <v>81</v>
      </c>
      <c r="E12" s="4" t="n">
        <v>248</v>
      </c>
      <c r="F12" s="4" t="n">
        <v>242</v>
      </c>
      <c r="G12" s="4" t="n">
        <v>247</v>
      </c>
    </row>
    <row r="13">
      <c r="B13" t="inlineStr">
        <is>
          <t>D&amp;A</t>
        </is>
      </c>
      <c r="C13" s="4" t="n"/>
      <c r="D13" s="4" t="n"/>
      <c r="E13" s="4" t="n"/>
      <c r="F13" s="4" t="n"/>
      <c r="G13" s="4" t="n"/>
    </row>
    <row r="14">
      <c r="B14" t="inlineStr">
        <is>
          <t>CapEx</t>
        </is>
      </c>
      <c r="C14" s="4" t="n">
        <v>53</v>
      </c>
      <c r="D14" s="4" t="n">
        <v>157</v>
      </c>
      <c r="E14" s="4" t="n">
        <v>210</v>
      </c>
      <c r="F14" s="4" t="n">
        <v>191</v>
      </c>
      <c r="G14" s="4" t="n">
        <v>84</v>
      </c>
    </row>
    <row r="15">
      <c r="B15" t="inlineStr">
        <is>
          <t>Gasto en I+D</t>
        </is>
      </c>
      <c r="C15" s="4" t="n">
        <v>1678</v>
      </c>
      <c r="D15" s="4" t="n">
        <v>2347</v>
      </c>
      <c r="E15" s="4" t="n">
        <v>2539</v>
      </c>
      <c r="F15" s="4" t="n">
        <v>2754</v>
      </c>
      <c r="G15" s="4" t="n">
        <v>2928</v>
      </c>
    </row>
    <row r="16">
      <c r="B16" t="inlineStr">
        <is>
          <t>Impuesto a las ganancias</t>
        </is>
      </c>
      <c r="C16" s="4" t="n">
        <v>494</v>
      </c>
      <c r="D16" s="4" t="n">
        <v>476</v>
      </c>
      <c r="E16" s="4" t="n">
        <v>605</v>
      </c>
      <c r="F16" s="4" t="n">
        <v>587</v>
      </c>
      <c r="G16" s="4" t="n">
        <v>965</v>
      </c>
    </row>
    <row r="17">
      <c r="B17" t="inlineStr">
        <is>
          <t>Resultado antes de impuestos</t>
        </is>
      </c>
      <c r="C17" s="4" t="n">
        <v>2556</v>
      </c>
      <c r="D17" s="4" t="n">
        <v>2542</v>
      </c>
      <c r="E17" s="4" t="n">
        <v>2989</v>
      </c>
      <c r="F17" s="4" t="n">
        <v>3550</v>
      </c>
      <c r="G17" s="4" t="n">
        <v>4834</v>
      </c>
    </row>
    <row r="18">
      <c r="B18" t="inlineStr">
        <is>
          <t>Dividendo por accion (USD)</t>
        </is>
      </c>
      <c r="C18" s="6" t="n">
        <v>2.36</v>
      </c>
      <c r="D18" s="6" t="n">
        <v>2.72</v>
      </c>
      <c r="E18" s="6" t="n">
        <v>3.12</v>
      </c>
      <c r="F18" s="6" t="n">
        <v>3.6</v>
      </c>
      <c r="G18" s="6" t="n">
        <v>4.16</v>
      </c>
    </row>
    <row r="19">
      <c r="B19" t="inlineStr">
        <is>
          <t>Emision de deuda</t>
        </is>
      </c>
      <c r="C19" s="4" t="n"/>
      <c r="D19" s="4" t="n"/>
      <c r="E19" s="4" t="n"/>
      <c r="F19" s="4" t="n"/>
      <c r="G19" s="4" t="n"/>
    </row>
    <row r="20">
      <c r="B20" t="inlineStr">
        <is>
          <t>Repago de deuda</t>
        </is>
      </c>
      <c r="C20" s="4" t="n">
        <v>338</v>
      </c>
      <c r="D20" s="4" t="n">
        <v>0</v>
      </c>
      <c r="E20" s="4" t="n">
        <v>1009</v>
      </c>
      <c r="F20" s="4" t="n">
        <v>4200</v>
      </c>
      <c r="G20" s="4" t="n">
        <v>500</v>
      </c>
    </row>
    <row r="21">
      <c r="B21" t="inlineStr">
        <is>
          <t>Acciones en circulacion (cierre, M)</t>
        </is>
      </c>
      <c r="C21" s="4" t="n">
        <v>273.235</v>
      </c>
      <c r="D21" s="4" t="n">
        <v>281.932</v>
      </c>
      <c r="E21" s="4" t="n">
        <v>280.421</v>
      </c>
      <c r="F21" s="4" t="n">
        <v>280.268</v>
      </c>
      <c r="G21" s="4" t="n">
        <v>279.129</v>
      </c>
    </row>
    <row r="23">
      <c r="B23" t="inlineStr">
        <is>
          <t>Interes / EBIT</t>
        </is>
      </c>
      <c r="C23" s="5">
        <f>IF(OR(C12="",H6=""),"",C12/H6)</f>
        <v/>
      </c>
      <c r="D23" s="5">
        <f>IF(OR(D12="",I6=""),"",D12/I6)</f>
        <v/>
      </c>
      <c r="E23" s="5">
        <f>IF(OR(E12="",J6=""),"",E12/J6)</f>
        <v/>
      </c>
      <c r="F23" s="5">
        <f>IF(OR(F12="",K6=""),"",F12/K6)</f>
        <v/>
      </c>
      <c r="G23" s="5">
        <f>IF(OR(G12="",L6=""),"",G12/L6)</f>
        <v/>
      </c>
    </row>
    <row r="24">
      <c r="B24" t="inlineStr">
        <is>
          <t>D&amp;A / Ingresos</t>
        </is>
      </c>
      <c r="C24" s="5">
        <f>IF(OR(C13="",H5=""),"",C13/H5)</f>
        <v/>
      </c>
      <c r="D24" s="5">
        <f>IF(OR(D13="",I5=""),"",D13/I5)</f>
        <v/>
      </c>
      <c r="E24" s="5">
        <f>IF(OR(E13="",J5=""),"",E13/J5)</f>
        <v/>
      </c>
      <c r="F24" s="5">
        <f>IF(OR(F13="",K5=""),"",F13/K5)</f>
        <v/>
      </c>
      <c r="G24" s="5">
        <f>IF(OR(G13="",L5=""),"",G13/L5)</f>
        <v/>
      </c>
    </row>
    <row r="25">
      <c r="B25" t="inlineStr">
        <is>
          <t>CapEx / Ingresos</t>
        </is>
      </c>
      <c r="C25" s="5">
        <f>IF(OR(C14="",H5=""),"",C14/H5)</f>
        <v/>
      </c>
      <c r="D25" s="5">
        <f>IF(OR(D14="",I5=""),"",D14/I5)</f>
        <v/>
      </c>
      <c r="E25" s="5">
        <f>IF(OR(E14="",J5=""),"",E14/J5)</f>
        <v/>
      </c>
      <c r="F25" s="5">
        <f>IF(OR(F14="",K5=""),"",F14/K5)</f>
        <v/>
      </c>
      <c r="G25" s="5">
        <f>IF(OR(G14="",L5=""),"",G14/L5)</f>
        <v/>
      </c>
    </row>
    <row r="26">
      <c r="B26" t="inlineStr">
        <is>
          <t>Tasa impositiva efectiva</t>
        </is>
      </c>
      <c r="C26" s="5">
        <f>IF(OR(C16="",C17=""),"",C16/C17)</f>
        <v/>
      </c>
      <c r="D26" s="5">
        <f>IF(OR(D16="",D17=""),"",D16/D17)</f>
        <v/>
      </c>
      <c r="E26" s="5">
        <f>IF(OR(E16="",E17=""),"",E16/E17)</f>
        <v/>
      </c>
      <c r="F26" s="5">
        <f>IF(OR(F16="",F17=""),"",F16/F17)</f>
        <v/>
      </c>
      <c r="G26" s="5">
        <f>IF(OR(G16="",G17=""),"",G16/G17)</f>
        <v/>
      </c>
    </row>
    <row r="27">
      <c r="B27" t="inlineStr">
        <is>
          <t>Endeudamiento neto / Ingresos</t>
        </is>
      </c>
      <c r="C27" s="5">
        <f>IF(OR(C19="",C20="",H5=""),"",(C19-C20)/H5)</f>
        <v/>
      </c>
      <c r="D27" s="5">
        <f>IF(OR(D19="",D20="",I5=""),"",(D19-D20)/I5)</f>
        <v/>
      </c>
      <c r="E27" s="5">
        <f>IF(OR(E19="",E20="",J5=""),"",(E19-E20)/J5)</f>
        <v/>
      </c>
      <c r="F27" s="5">
        <f>IF(OR(F19="",F20="",K5=""),"",(F19-F20)/K5)</f>
        <v/>
      </c>
      <c r="G27" s="5">
        <f>IF(OR(G19="",G20="",L5=""),"",(G19-G20)/L5)</f>
        <v/>
      </c>
    </row>
    <row r="28">
      <c r="B28" t="inlineStr">
        <is>
          <t>Crecimiento de dividendos (a/a)</t>
        </is>
      </c>
      <c r="D28" s="5">
        <f>IF(OR(D18="",C18=0,C18=""),"",D18/C18-1)</f>
        <v/>
      </c>
      <c r="E28" s="5">
        <f>IF(OR(E18="",D18=0,D18=""),"",E18/D18-1)</f>
        <v/>
      </c>
      <c r="F28" s="5">
        <f>IF(OR(F18="",E18=0,E18=""),"",F18/E18-1)</f>
        <v/>
      </c>
      <c r="G28" s="5">
        <f>IF(OR(G18="",F18=0,F18=""),"",G18/F18-1)</f>
        <v/>
      </c>
    </row>
    <row r="29">
      <c r="B29" t="inlineStr">
        <is>
          <t>Crecimiento de acciones (a/a)</t>
        </is>
      </c>
      <c r="D29" s="5">
        <f>IF(OR(D21="",C21=""),"",D21/C21-1)</f>
        <v/>
      </c>
      <c r="E29" s="5">
        <f>IF(OR(E21="",D21=""),"",E21/D21-1)</f>
        <v/>
      </c>
      <c r="F29" s="5">
        <f>IF(OR(F21="",E21=""),"",F21/E21-1)</f>
        <v/>
      </c>
      <c r="G29" s="5">
        <f>IF(OR(G21="",F21=""),"",G21/F21-1)</f>
        <v/>
      </c>
    </row>
    <row r="32">
      <c r="B32" s="2" t="inlineStr">
        <is>
          <t>LTM (suma de 4 trimestres consecutivos; si faltan o hay un hueco, se usa el ultimo 10-K)</t>
        </is>
      </c>
    </row>
    <row r="33">
      <c r="B33" t="inlineStr">
        <is>
          <t>(columnas C-F = ultimos 4 trimestres; columna H = suma = LTM)</t>
        </is>
      </c>
    </row>
    <row r="34">
      <c r="B34" t="inlineStr">
        <is>
          <t>Ingresos (trimestres)</t>
        </is>
      </c>
    </row>
    <row r="35">
      <c r="B35" t="inlineStr">
        <is>
          <t>EBIT (trimestres)</t>
        </is>
      </c>
    </row>
    <row r="36">
      <c r="B36" t="inlineStr">
        <is>
          <t>Intereses (trimestres)</t>
        </is>
      </c>
    </row>
    <row r="39">
      <c r="B39" s="2" t="inlineStr">
        <is>
          <t>Balance -- ultimo 10-K cerrado vs. mas reciente (10-Q/10-K), en millones</t>
        </is>
      </c>
    </row>
    <row r="40">
      <c r="C40" s="2" t="inlineStr">
        <is>
          <t>Ultimo 10-K</t>
        </is>
      </c>
      <c r="D40" s="2" t="inlineStr">
        <is>
          <t>Mas reciente</t>
        </is>
      </c>
    </row>
    <row r="41">
      <c r="B41" t="inlineStr">
        <is>
          <t>Valor libro del equity</t>
        </is>
      </c>
      <c r="C41" s="4" t="n">
        <v>19710</v>
      </c>
      <c r="D41" s="4" t="n">
        <v>20629</v>
      </c>
    </row>
    <row r="42">
      <c r="B42" t="inlineStr">
        <is>
          <t>Deuda de largo plazo</t>
        </is>
      </c>
      <c r="C42" s="4" t="n">
        <v>5973</v>
      </c>
      <c r="D42" s="4" t="n">
        <v>5412</v>
      </c>
    </row>
    <row r="43">
      <c r="B43" t="inlineStr">
        <is>
          <t>Deuda corriente</t>
        </is>
      </c>
      <c r="C43" s="4" t="n">
        <v>0</v>
      </c>
      <c r="D43" s="4" t="n">
        <v>750</v>
      </c>
    </row>
    <row r="44">
      <c r="B44" t="inlineStr">
        <is>
          <t>Deuda total (LP + corriente)</t>
        </is>
      </c>
      <c r="C44" s="7">
        <f>C42+C43</f>
        <v/>
      </c>
      <c r="D44" s="7">
        <f>D42+D43</f>
        <v/>
      </c>
    </row>
    <row r="45">
      <c r="B45" t="inlineStr">
        <is>
          <t>Caja</t>
        </is>
      </c>
      <c r="C45" s="4" t="n">
        <v>2884</v>
      </c>
      <c r="D45" s="4" t="n">
        <v>4681</v>
      </c>
    </row>
    <row r="46">
      <c r="B46" t="inlineStr">
        <is>
          <t>Interes minoritario</t>
        </is>
      </c>
      <c r="C46" s="4" t="n">
        <v>0</v>
      </c>
      <c r="D46" s="4" t="n">
        <v>0</v>
      </c>
    </row>
    <row r="47">
      <c r="B47" t="inlineStr">
        <is>
          <t>NOL acumulado</t>
        </is>
      </c>
      <c r="C47" s="4" t="n">
        <v>0</v>
      </c>
      <c r="D47" s="4" t="n">
        <v>0</v>
      </c>
    </row>
    <row r="48">
      <c r="B48" t="inlineStr">
        <is>
          <t>Acciones en circulacion (M)</t>
        </is>
      </c>
      <c r="C48" s="4" t="n">
        <v>279.129</v>
      </c>
      <c r="D48" s="4" t="n">
        <v>279.129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</cols>
  <sheetData>
    <row r="1">
      <c r="A1" s="2" t="inlineStr">
        <is>
          <t>Campo (mismo nombre que en el dashboard)</t>
        </is>
      </c>
      <c r="B1" s="2" t="inlineStr">
        <is>
          <t>Valor</t>
        </is>
      </c>
    </row>
    <row r="2">
      <c r="A2" s="8" t="inlineStr">
        <is>
          <t>Celeste = calculado por formula desde 'Estados financieros'. Amarillo = SEC EDGAR no lo tiene, completalo vos.</t>
        </is>
      </c>
    </row>
    <row r="3">
      <c r="A3" t="inlineStr">
        <is>
          <t>ticker</t>
        </is>
      </c>
      <c r="B3" t="inlineStr">
        <is>
          <t>INTU</t>
        </is>
      </c>
    </row>
    <row r="4">
      <c r="A4" t="inlineStr">
        <is>
          <t>company_name</t>
        </is>
      </c>
      <c r="B4" t="inlineStr">
        <is>
          <t>INTUIT INC.</t>
        </is>
      </c>
    </row>
    <row r="5">
      <c r="A5" t="inlineStr">
        <is>
          <t>country_of_incorporation</t>
        </is>
      </c>
      <c r="B5" t="inlineStr">
        <is>
          <t>United States</t>
        </is>
      </c>
    </row>
    <row r="6">
      <c r="A6" t="inlineStr">
        <is>
          <t>industry_us</t>
        </is>
      </c>
      <c r="B6" t="inlineStr">
        <is>
          <t>Services-Prepackaged Software</t>
        </is>
      </c>
    </row>
    <row r="7">
      <c r="A7" t="inlineStr">
        <is>
          <t>industry_global</t>
        </is>
      </c>
      <c r="B7" t="inlineStr">
        <is>
          <t>Services-Prepackaged Software</t>
        </is>
      </c>
    </row>
    <row r="8">
      <c r="A8" t="inlineStr">
        <is>
          <t>current_price</t>
        </is>
      </c>
      <c r="B8" t="n">
        <v>650</v>
      </c>
    </row>
    <row r="9">
      <c r="A9" t="inlineStr">
        <is>
          <t>revenue_ltm</t>
        </is>
      </c>
      <c r="B9" s="7">
        <f>'Estados financieros'!L5</f>
        <v/>
      </c>
    </row>
    <row r="10">
      <c r="A10" t="inlineStr">
        <is>
          <t>revenue_prior_10k</t>
        </is>
      </c>
      <c r="B10" s="7">
        <f>'Estados financieros'!L5</f>
        <v/>
      </c>
    </row>
    <row r="11">
      <c r="A11" t="inlineStr">
        <is>
          <t>ebit_ltm</t>
        </is>
      </c>
      <c r="B11" s="7">
        <f>'Estados financieros'!L6</f>
        <v/>
      </c>
    </row>
    <row r="12">
      <c r="A12" t="inlineStr">
        <is>
          <t>ebit_prior_10k</t>
        </is>
      </c>
      <c r="B12" s="7">
        <f>'Estados financieros'!L6</f>
        <v/>
      </c>
    </row>
    <row r="13">
      <c r="A13" t="inlineStr">
        <is>
          <t>interest_expense_ltm</t>
        </is>
      </c>
      <c r="B13" s="7">
        <f>'Estados financieros'!G12</f>
        <v/>
      </c>
    </row>
    <row r="14">
      <c r="A14" t="inlineStr">
        <is>
          <t>interest_expense_prior_10k</t>
        </is>
      </c>
      <c r="B14" s="7">
        <f>'Estados financieros'!G12</f>
        <v/>
      </c>
    </row>
    <row r="15">
      <c r="A15" t="inlineStr">
        <is>
          <t>book_value_equity_ltm</t>
        </is>
      </c>
      <c r="B15" s="7">
        <f>'Estados financieros'!D41</f>
        <v/>
      </c>
    </row>
    <row r="16">
      <c r="A16" t="inlineStr">
        <is>
          <t>book_value_equity_prior_10k</t>
        </is>
      </c>
      <c r="B16" s="7">
        <f>'Estados financieros'!C41</f>
        <v/>
      </c>
    </row>
    <row r="17">
      <c r="A17" t="inlineStr">
        <is>
          <t>book_value_debt_ltm</t>
        </is>
      </c>
      <c r="B17" s="7">
        <f>'Estados financieros'!D44</f>
        <v/>
      </c>
    </row>
    <row r="18">
      <c r="A18" t="inlineStr">
        <is>
          <t>book_value_debt_prior_10k</t>
        </is>
      </c>
      <c r="B18" s="7">
        <f>'Estados financieros'!C44</f>
        <v/>
      </c>
    </row>
    <row r="19">
      <c r="A19" t="inlineStr">
        <is>
          <t>cash_ltm</t>
        </is>
      </c>
      <c r="B19" s="7">
        <f>'Estados financieros'!D45</f>
        <v/>
      </c>
    </row>
    <row r="20">
      <c r="A20" t="inlineStr">
        <is>
          <t>cash_prior_10k</t>
        </is>
      </c>
      <c r="B20" s="7">
        <f>'Estados financieros'!C45</f>
        <v/>
      </c>
    </row>
    <row r="21">
      <c r="A21" t="inlineStr">
        <is>
          <t>minority_interests</t>
        </is>
      </c>
      <c r="B21" s="7">
        <f>'Estados financieros'!D46</f>
        <v/>
      </c>
    </row>
    <row r="22">
      <c r="A22" t="inlineStr">
        <is>
          <t>shares_outstanding</t>
        </is>
      </c>
      <c r="B22" s="7">
        <f>'Estados financieros'!D48</f>
        <v/>
      </c>
    </row>
    <row r="23">
      <c r="A23" t="inlineStr">
        <is>
          <t>nol_carryforward</t>
        </is>
      </c>
      <c r="B23" s="7">
        <f>'Estados financieros'!D47</f>
        <v/>
      </c>
    </row>
    <row r="24">
      <c r="A24" t="inlineStr">
        <is>
          <t>effective_tax_rate</t>
        </is>
      </c>
      <c r="B24" s="5">
        <f>AVERAGE('Estados financieros'!C26:G26)</f>
        <v/>
      </c>
    </row>
    <row r="25">
      <c r="A25" t="inlineStr">
        <is>
          <t>dividend_per_share_ltm</t>
        </is>
      </c>
      <c r="B25" s="9">
        <f>'Estados financieros'!G18</f>
        <v/>
      </c>
    </row>
    <row r="26">
      <c r="A26" t="inlineStr">
        <is>
          <t>ebit_margin_ltm</t>
        </is>
      </c>
      <c r="B26" s="5">
        <f>'Estados financieros'!L6/'Estados financieros'!L5</f>
        <v/>
      </c>
    </row>
    <row r="27">
      <c r="A27" t="inlineStr">
        <is>
          <t>ebit_margin_avg_3y</t>
        </is>
      </c>
      <c r="B27" s="5">
        <f>AVERAGE('Estados financieros'!J7:L7)</f>
        <v/>
      </c>
    </row>
    <row r="28">
      <c r="A28" t="inlineStr">
        <is>
          <t>ebit_margin_avg_5y</t>
        </is>
      </c>
      <c r="B28" s="5">
        <f>AVERAGE('Estados financieros'!H7:L7)</f>
        <v/>
      </c>
    </row>
    <row r="29">
      <c r="A29" t="inlineStr">
        <is>
          <t>ebit_margin_avg_10y</t>
        </is>
      </c>
      <c r="B29" s="5">
        <f>AVERAGE('Estados financieros'!C7:L7)</f>
        <v/>
      </c>
    </row>
    <row r="30">
      <c r="A30" t="inlineStr">
        <is>
          <t>revenue_growth_next_year</t>
        </is>
      </c>
      <c r="B30" s="5">
        <f>IF(OR('Estados financieros'!I5="",'Estados financieros'!I5&lt;=0),0,('Estados financieros'!L5/'Estados financieros'!I5)^(1/3)-1)</f>
        <v/>
      </c>
    </row>
    <row r="31">
      <c r="A31" t="inlineStr">
        <is>
          <t>revenue_growth_years_2_to_5</t>
        </is>
      </c>
      <c r="B31" s="5">
        <f>IF(OR('Estados financieros'!I5="",'Estados financieros'!I5&lt;=0),0,('Estados financieros'!L5/'Estados financieros'!I5)^(1/3)-1)</f>
        <v/>
      </c>
    </row>
    <row r="32">
      <c r="A32" t="inlineStr">
        <is>
          <t>riskfree_rate</t>
        </is>
      </c>
      <c r="B32" s="10" t="n">
        <v>0.045</v>
      </c>
    </row>
    <row r="33">
      <c r="A33" t="inlineStr">
        <is>
          <t>initial_cost_of_capital</t>
        </is>
      </c>
      <c r="B33" s="10" t="n">
        <v>0.09</v>
      </c>
    </row>
    <row r="34">
      <c r="A34" t="inlineStr">
        <is>
          <t>hist_interest_pct_of_ebit</t>
        </is>
      </c>
      <c r="B34" s="5">
        <f>AVERAGE('Estados financieros'!C23:G23)</f>
        <v/>
      </c>
    </row>
    <row r="35">
      <c r="A35" t="inlineStr">
        <is>
          <t>hist_da_pct_of_revenue</t>
        </is>
      </c>
      <c r="B35" s="5">
        <f>AVERAGE('Estados financieros'!C24:G24)</f>
        <v/>
      </c>
    </row>
    <row r="36">
      <c r="A36" t="inlineStr">
        <is>
          <t>hist_capex_pct_of_revenue</t>
        </is>
      </c>
      <c r="B36" s="5">
        <f>AVERAGE('Estados financieros'!C25:G25)</f>
        <v/>
      </c>
    </row>
    <row r="37">
      <c r="A37" t="inlineStr">
        <is>
          <t>hist_net_borrowing_pct_of_revenue</t>
        </is>
      </c>
      <c r="B37" s="5">
        <f>AVERAGE('Estados financieros'!C27:G27)</f>
        <v/>
      </c>
    </row>
    <row r="38">
      <c r="A38" t="inlineStr">
        <is>
          <t>hist_shares_growth_rate</t>
        </is>
      </c>
      <c r="B38" s="5">
        <f>IF(OR('Estados financieros'!D21="",'Estados financieros'!D21&lt;=0),0,('Estados financieros'!G21/'Estados financieros'!D21)^(1/3)-1)</f>
        <v/>
      </c>
    </row>
    <row r="39">
      <c r="A39" t="inlineStr">
        <is>
          <t>hist_dividend_growth_rate</t>
        </is>
      </c>
      <c r="B39" s="5">
        <f>IF(OR('Estados financieros'!D18="",'Estados financieros'!D18&lt;=0),0,('Estados financieros'!G18/'Estados financieros'!D18)^(1/3)-1)</f>
        <v/>
      </c>
    </row>
    <row r="40">
      <c r="A40" t="inlineStr">
        <is>
          <t>capitalize_rd</t>
        </is>
      </c>
      <c r="B40" t="inlineStr">
        <is>
          <t>Yes</t>
        </is>
      </c>
    </row>
    <row r="41">
      <c r="A41" t="inlineStr">
        <is>
          <t>rd_expense_current_year</t>
        </is>
      </c>
      <c r="B41" s="7">
        <f>'Estados financieros'!G15</f>
        <v/>
      </c>
    </row>
    <row r="42">
      <c r="A42" t="inlineStr">
        <is>
          <t>rd_expense_year_minus_1</t>
        </is>
      </c>
      <c r="B42" s="7">
        <f>'Estados financieros'!F15</f>
        <v/>
      </c>
    </row>
    <row r="43">
      <c r="A43" t="inlineStr">
        <is>
          <t>rd_expense_year_minus_2</t>
        </is>
      </c>
      <c r="B43" s="7">
        <f>'Estados financieros'!E15</f>
        <v/>
      </c>
    </row>
    <row r="44">
      <c r="A44" t="inlineStr">
        <is>
          <t>rd_expense_year_minus_3</t>
        </is>
      </c>
      <c r="B44" s="7">
        <f>'Estados financieros'!D15</f>
        <v/>
      </c>
    </row>
    <row r="45">
      <c r="A45" t="inlineStr">
        <is>
          <t>rd_expense_year_minus_4</t>
        </is>
      </c>
      <c r="B45" s="7">
        <f>'Estados financieros'!C15</f>
        <v/>
      </c>
    </row>
    <row r="46">
      <c r="A46" t="inlineStr">
        <is>
          <t>rd_expense_year_minus_5</t>
        </is>
      </c>
      <c r="B46" t="n">
        <v>0</v>
      </c>
    </row>
    <row r="47">
      <c r="A47" t="inlineStr">
        <is>
          <t>rd_expense_year_minus_6</t>
        </is>
      </c>
      <c r="B47" t="n">
        <v>0</v>
      </c>
    </row>
    <row r="48">
      <c r="A48" t="inlineStr">
        <is>
          <t>rd_expense_year_minus_7</t>
        </is>
      </c>
      <c r="B48" t="n">
        <v>0</v>
      </c>
    </row>
    <row r="49">
      <c r="A49" t="inlineStr">
        <is>
          <t>rd_expense_year_minus_8</t>
        </is>
      </c>
      <c r="B49" t="n">
        <v>0</v>
      </c>
    </row>
    <row r="50">
      <c r="A50" t="inlineStr">
        <is>
          <t>rd_expense_year_minus_9</t>
        </is>
      </c>
      <c r="B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2026-08-26T22:01:26Z</dcterms:created>
  <dcterms:modified xsi:type="dcterms:W3CDTF">2026-08-26T22:01:26Z</dcterms:modified>
</cp:coreProperties>
</file>